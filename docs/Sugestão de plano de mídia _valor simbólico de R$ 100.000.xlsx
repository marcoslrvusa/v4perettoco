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enário 1 &lt; 100k" sheetId="1" r:id="rId5"/>
    <sheet state="visible" name="Cenário 2 = 100 a 400k" sheetId="2" r:id="rId6"/>
    <sheet state="visible" name="Cenário 3 &gt; 400k" sheetId="3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tc={8bd6373e-075f-4a3b-b0c0-090b0dad264f}</author>
  </authors>
  <commentList>
    <comment authorId="0" xr:uid="{8bd6373e-075f-4a3b-b0c0-090b0dad264f}" ref="A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Esse conceito é utilizado em estratégias de marketplace. O contexto e a maturidade da estratégia definem a  alocação.
Orçamento de Defesa: 
Verba usada para comprar as suas próprias palavras-chave (ex: anunciar para quem busca Integralmedica ou Nutrify). O objetivo é garantir o topo do buscador e impedir que a concorrência apareça primeiro e roube nosso cliente.
Orçamento de Conquista: 
É a verba usada de forma agressiva para atacar os nossos concorrentes. Direcionamos os anúncios para aparecer em buscas de marcas rivais (ex: aparecer quando alguém pesquisa Growth ou Max Titanium) para tentar captar aquela venda.
</t>
      </text>
    </comment>
  </commentList>
</comments>
</file>

<file path=xl/sharedStrings.xml><?xml version="1.0" encoding="utf-8"?>
<sst xmlns="http://schemas.openxmlformats.org/spreadsheetml/2006/main" count="143" uniqueCount="50">
  <si>
    <t>Plano de Mídia - Marketplaces BRG</t>
  </si>
  <si>
    <t>*O valor de orçamento e distribuição são baseados em boas praticas de performance, plano será revisado na fase de planejamento.</t>
  </si>
  <si>
    <t>O conceito da divisão tática "defesa / conquista", é um conceito aplicado pelo consultor baseado em proteger as marcas próprias (defesa), e atacar concorrentes (conquista).</t>
  </si>
  <si>
    <t>Orçamento mídia</t>
  </si>
  <si>
    <t>Canal de Venda</t>
  </si>
  <si>
    <t>Representatividade (%)</t>
  </si>
  <si>
    <t>Verba Mensal (R$)</t>
  </si>
  <si>
    <t>Divisão Tática (Defesa / Conquista)</t>
  </si>
  <si>
    <t>Formatos e Soluções Recomendadas</t>
  </si>
  <si>
    <t>KPI Primário</t>
  </si>
  <si>
    <t>Mercado Livre</t>
  </si>
  <si>
    <t>R$ 24.000 Defesa / R$ 16.000 Conquista</t>
  </si>
  <si>
    <t>Product Ads (Foco em itens FULL) + Display Ads</t>
  </si>
  <si>
    <t>Share of Search (&gt;40% em buscas de marca)</t>
  </si>
  <si>
    <t>Amazon</t>
  </si>
  <si>
    <t>R$ 15.000 Defesa / R$ 10.000 Conquista</t>
  </si>
  <si>
    <t>Sponsored Products + Sponsored Brands + DSP</t>
  </si>
  <si>
    <t>% de Buy Box Retida (&gt;85%)</t>
  </si>
  <si>
    <t>Shopee</t>
  </si>
  <si>
    <t>R$ 9.000 Defesa / R$ 6.000 Conquista</t>
  </si>
  <si>
    <t>Shopee Search Ads + Discovery Ads</t>
  </si>
  <si>
    <t>Volume de Pedidos (Itens curva A)</t>
  </si>
  <si>
    <t>Centauro</t>
  </si>
  <si>
    <t>R$ 2.400 Defesa / R$ 1.600 Conquista</t>
  </si>
  <si>
    <t>Sponsored Products (Cross-sell esportivo)</t>
  </si>
  <si>
    <t>ROAS Global</t>
  </si>
  <si>
    <t>Decathlon</t>
  </si>
  <si>
    <t>R$ 1.200 Defesa / R$ 800 Conquista</t>
  </si>
  <si>
    <t>Criteo / Vitrines Temáticas e Banners</t>
  </si>
  <si>
    <t>Participação em Campanhas Sazonais</t>
  </si>
  <si>
    <t>Magalu</t>
  </si>
  <si>
    <t>R$ 3.000 Defesa / R$ 2.000 Conquista</t>
  </si>
  <si>
    <t>Magalu Ads (Busca e Categoria)</t>
  </si>
  <si>
    <t>Ranking de Vendas na Categoria</t>
  </si>
  <si>
    <t>Netshoes</t>
  </si>
  <si>
    <t>SEO</t>
  </si>
  <si>
    <t>Share of Search</t>
  </si>
  <si>
    <t>AliExpress</t>
  </si>
  <si>
    <t>Shein</t>
  </si>
  <si>
    <t>Privalia</t>
  </si>
  <si>
    <t>R$ 3.600 Defesa / R$ 2.400 Conquista</t>
  </si>
  <si>
    <t>Taxa de Conversão de Visita (&gt;8%)</t>
  </si>
  <si>
    <t>R$ 1.500 Foco em Preço e Escala</t>
  </si>
  <si>
    <t>Mídia de Busca Local + Subsídio de Cupons</t>
  </si>
  <si>
    <t>Custo de Aquisição (CPA)</t>
  </si>
  <si>
    <t>R$ 1.000 Foco em Preço e Escala</t>
  </si>
  <si>
    <t>Anúncios de Busca + Flash Sales</t>
  </si>
  <si>
    <t>R$ 500 Institucional / Liquidação</t>
  </si>
  <si>
    <t>Inserções via Push Notifications e Banners</t>
  </si>
  <si>
    <t>Giro de Estoque (SKUs descontinuados)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</si>
</sst>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$ -416]#,##0.00"/>
  </numFmts>
  <fonts count="5">
    <font>
      <sz val="10.0"/>
      <color rgb="FF000000"/>
      <name val="Arial"/>
      <scheme val="minor"/>
    </font>
    <font>
      <b/>
      <sz val="12.0"/>
      <color rgb="FFFFFFFF"/>
      <name val="Arial"/>
      <scheme val="minor"/>
    </font>
    <font>
      <i/>
      <sz val="9.0"/>
      <color rgb="FFFF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990000"/>
        <bgColor rgb="FF990000"/>
      </patternFill>
    </fill>
    <fill>
      <patternFill patternType="solid">
        <fgColor rgb="FFF3F3F3"/>
        <bgColor rgb="FFF3F3F3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2" numFmtId="0" xfId="0" applyAlignment="1" applyFill="1" applyFont="1">
      <alignment readingOrder="0"/>
    </xf>
    <xf borderId="0" fillId="3" fontId="3" numFmtId="0" xfId="0" applyAlignment="1" applyFont="1">
      <alignment readingOrder="0"/>
    </xf>
    <xf borderId="0" fillId="0" fontId="4" numFmtId="0" xfId="0" applyAlignment="1" applyFont="1">
      <alignment readingOrder="0" shrinkToFit="0" wrapText="1"/>
    </xf>
    <xf borderId="0" fillId="0" fontId="4" numFmtId="164" xfId="0" applyAlignment="1" applyFont="1" applyNumberFormat="1">
      <alignment readingOrder="0" shrinkToFit="0" wrapText="1"/>
    </xf>
    <xf borderId="0" fillId="0" fontId="3" numFmtId="0" xfId="0" applyAlignment="1" applyFont="1">
      <alignment readingOrder="0"/>
    </xf>
    <xf borderId="0" fillId="0" fontId="3" numFmtId="10" xfId="0" applyAlignment="1" applyFont="1" applyNumberFormat="1">
      <alignment readingOrder="0"/>
    </xf>
    <xf borderId="0" fillId="0" fontId="3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Marcos Luciano" id="{d75476af-4035-489d-96bd-e7332f0314c4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3" dT="2026-06-23T22:11:06.00" personId="{d75476af-4035-489d-96bd-e7332f0314c4}" id="{8bd6373e-075f-4a3b-b0c0-090b0dad264f}" done="0">
    <x18tc:text xml:space="preserve">Esse conceito é utilizado em estratégias de marketplace. O contexto e a maturidade da estratégia definem a  alocação.
Orçamento de Defesa: 
Verba usada para comprar as suas próprias palavras-chave (ex: anunciar para quem busca Integralmedica ou Nutrify). O objetivo é garantir o topo do buscador e impedir que a concorrência apareça primeiro e roube nosso cliente.
Orçamento de Conquista: 
É a verba usada de forma agressiva para atacar os nossos concorrentes. Direcionamos os anúncios para aparecer em buscas de marcas rivais (ex: aparecer quando alguém pesquisa Growth ou Max Titanium) para tentar captar aquela venda.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88"/>
    <col customWidth="1" min="2" max="2" width="16.38"/>
    <col customWidth="1" min="3" max="3" width="14.88"/>
    <col customWidth="1" min="4" max="4" width="31.5"/>
    <col customWidth="1" min="5" max="5" width="37.38"/>
    <col customWidth="1" min="6" max="6" width="34.88"/>
  </cols>
  <sheetData>
    <row r="1">
      <c r="A1" s="1" t="s">
        <v>0</v>
      </c>
      <c r="B1" s="1"/>
      <c r="C1" s="1"/>
      <c r="D1" s="1"/>
      <c r="E1" s="1"/>
      <c r="F1" s="1"/>
    </row>
    <row r="2">
      <c r="A2" s="2" t="s">
        <v>1</v>
      </c>
      <c r="B2" s="3"/>
      <c r="C2" s="3"/>
      <c r="D2" s="3"/>
      <c r="E2" s="3"/>
      <c r="F2" s="3"/>
    </row>
    <row r="3">
      <c r="A3" s="2" t="s">
        <v>2</v>
      </c>
      <c r="B3" s="3"/>
      <c r="C3" s="3"/>
      <c r="D3" s="3"/>
      <c r="E3" s="3"/>
      <c r="F3" s="3"/>
    </row>
    <row r="4" ht="28.5" customHeight="1">
      <c r="A4" s="4" t="s">
        <v>3</v>
      </c>
      <c r="B4" s="5">
        <v>100000.0</v>
      </c>
      <c r="C4" s="4"/>
      <c r="D4" s="4"/>
      <c r="E4" s="4"/>
      <c r="F4" s="4"/>
    </row>
    <row r="5" ht="28.5" customHeight="1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</row>
    <row r="6">
      <c r="A6" s="6" t="s">
        <v>10</v>
      </c>
      <c r="B6" s="7">
        <v>0.35</v>
      </c>
      <c r="C6" s="8">
        <f t="shared" ref="C6:C11" si="1">$B$4*B6</f>
        <v>35000</v>
      </c>
      <c r="D6" s="6" t="s">
        <v>11</v>
      </c>
      <c r="E6" s="6" t="s">
        <v>12</v>
      </c>
      <c r="F6" s="6" t="s">
        <v>13</v>
      </c>
    </row>
    <row r="7">
      <c r="A7" s="6" t="s">
        <v>14</v>
      </c>
      <c r="B7" s="7">
        <v>0.25</v>
      </c>
      <c r="C7" s="8">
        <f t="shared" si="1"/>
        <v>25000</v>
      </c>
      <c r="D7" s="6" t="s">
        <v>15</v>
      </c>
      <c r="E7" s="6" t="s">
        <v>16</v>
      </c>
      <c r="F7" s="6" t="s">
        <v>17</v>
      </c>
    </row>
    <row r="8">
      <c r="A8" s="6" t="s">
        <v>18</v>
      </c>
      <c r="B8" s="7">
        <v>0.15</v>
      </c>
      <c r="C8" s="8">
        <f t="shared" si="1"/>
        <v>15000</v>
      </c>
      <c r="D8" s="6" t="s">
        <v>19</v>
      </c>
      <c r="E8" s="6" t="s">
        <v>20</v>
      </c>
      <c r="F8" s="6" t="s">
        <v>21</v>
      </c>
    </row>
    <row r="9">
      <c r="A9" s="6" t="s">
        <v>22</v>
      </c>
      <c r="B9" s="7">
        <v>0.12</v>
      </c>
      <c r="C9" s="8">
        <f t="shared" si="1"/>
        <v>12000</v>
      </c>
      <c r="D9" s="6" t="s">
        <v>23</v>
      </c>
      <c r="E9" s="6" t="s">
        <v>24</v>
      </c>
      <c r="F9" s="6" t="s">
        <v>25</v>
      </c>
    </row>
    <row r="10">
      <c r="A10" s="6" t="s">
        <v>26</v>
      </c>
      <c r="B10" s="7">
        <v>0.06</v>
      </c>
      <c r="C10" s="8">
        <f t="shared" si="1"/>
        <v>6000</v>
      </c>
      <c r="D10" s="6" t="s">
        <v>27</v>
      </c>
      <c r="E10" s="6" t="s">
        <v>28</v>
      </c>
      <c r="F10" s="6" t="s">
        <v>29</v>
      </c>
    </row>
    <row r="11">
      <c r="A11" s="6" t="s">
        <v>30</v>
      </c>
      <c r="B11" s="7">
        <v>0.05</v>
      </c>
      <c r="C11" s="8">
        <f t="shared" si="1"/>
        <v>5000</v>
      </c>
      <c r="D11" s="6" t="s">
        <v>31</v>
      </c>
      <c r="E11" s="6" t="s">
        <v>32</v>
      </c>
      <c r="F11" s="6" t="s">
        <v>33</v>
      </c>
    </row>
    <row r="12">
      <c r="A12" s="6" t="s">
        <v>34</v>
      </c>
      <c r="B12" s="7"/>
      <c r="C12" s="8"/>
      <c r="E12" s="6" t="s">
        <v>35</v>
      </c>
      <c r="F12" s="6" t="s">
        <v>36</v>
      </c>
    </row>
    <row r="13">
      <c r="A13" s="6" t="s">
        <v>37</v>
      </c>
      <c r="B13" s="7"/>
      <c r="C13" s="8"/>
      <c r="E13" s="6" t="s">
        <v>35</v>
      </c>
      <c r="F13" s="6" t="s">
        <v>36</v>
      </c>
    </row>
    <row r="14">
      <c r="A14" s="6" t="s">
        <v>38</v>
      </c>
      <c r="B14" s="7"/>
      <c r="C14" s="8"/>
      <c r="E14" s="6" t="s">
        <v>35</v>
      </c>
      <c r="F14" s="6" t="s">
        <v>36</v>
      </c>
    </row>
    <row r="15">
      <c r="A15" s="6" t="s">
        <v>39</v>
      </c>
      <c r="B15" s="7"/>
      <c r="C15" s="8"/>
      <c r="E15" s="6" t="s">
        <v>35</v>
      </c>
      <c r="F15" s="6" t="s">
        <v>36</v>
      </c>
    </row>
  </sheetData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88"/>
    <col customWidth="1" min="2" max="2" width="16.38"/>
    <col customWidth="1" min="3" max="3" width="14.88"/>
    <col customWidth="1" min="4" max="4" width="31.5"/>
    <col customWidth="1" min="5" max="5" width="37.38"/>
    <col customWidth="1" min="6" max="6" width="34.88"/>
  </cols>
  <sheetData>
    <row r="1">
      <c r="A1" s="1" t="s">
        <v>0</v>
      </c>
      <c r="B1" s="1"/>
      <c r="C1" s="1"/>
      <c r="D1" s="1"/>
      <c r="E1" s="1"/>
      <c r="F1" s="1"/>
    </row>
    <row r="2">
      <c r="A2" s="2" t="s">
        <v>1</v>
      </c>
      <c r="B2" s="3"/>
      <c r="C2" s="3"/>
      <c r="D2" s="3"/>
      <c r="E2" s="3"/>
      <c r="F2" s="3"/>
    </row>
    <row r="3">
      <c r="A3" s="2" t="s">
        <v>2</v>
      </c>
      <c r="B3" s="3"/>
      <c r="C3" s="3"/>
      <c r="D3" s="3"/>
      <c r="E3" s="3"/>
      <c r="F3" s="3"/>
    </row>
    <row r="4" ht="28.5" customHeight="1">
      <c r="A4" s="4" t="s">
        <v>3</v>
      </c>
      <c r="B4" s="5">
        <v>350000.0</v>
      </c>
      <c r="C4" s="4"/>
      <c r="D4" s="4"/>
      <c r="E4" s="4"/>
      <c r="F4" s="4"/>
    </row>
    <row r="5" ht="28.5" customHeight="1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</row>
    <row r="6">
      <c r="A6" s="6" t="s">
        <v>10</v>
      </c>
      <c r="B6" s="7">
        <v>0.35</v>
      </c>
      <c r="C6" s="8">
        <f t="shared" ref="C6:C12" si="1">$B$4*B6</f>
        <v>122500</v>
      </c>
      <c r="D6" s="6" t="s">
        <v>11</v>
      </c>
      <c r="E6" s="6" t="s">
        <v>12</v>
      </c>
      <c r="F6" s="6" t="s">
        <v>13</v>
      </c>
    </row>
    <row r="7">
      <c r="A7" s="6" t="s">
        <v>14</v>
      </c>
      <c r="B7" s="7">
        <v>0.25</v>
      </c>
      <c r="C7" s="8">
        <f t="shared" si="1"/>
        <v>87500</v>
      </c>
      <c r="D7" s="6" t="s">
        <v>15</v>
      </c>
      <c r="E7" s="6" t="s">
        <v>16</v>
      </c>
      <c r="F7" s="6" t="s">
        <v>17</v>
      </c>
    </row>
    <row r="8">
      <c r="A8" s="6" t="s">
        <v>18</v>
      </c>
      <c r="B8" s="7">
        <v>0.15</v>
      </c>
      <c r="C8" s="8">
        <f t="shared" si="1"/>
        <v>52500</v>
      </c>
      <c r="D8" s="6" t="s">
        <v>19</v>
      </c>
      <c r="E8" s="6" t="s">
        <v>20</v>
      </c>
      <c r="F8" s="6" t="s">
        <v>21</v>
      </c>
    </row>
    <row r="9">
      <c r="A9" s="6" t="s">
        <v>22</v>
      </c>
      <c r="B9" s="7">
        <v>0.08</v>
      </c>
      <c r="C9" s="8">
        <f t="shared" si="1"/>
        <v>28000</v>
      </c>
      <c r="D9" s="6" t="s">
        <v>23</v>
      </c>
      <c r="E9" s="6" t="s">
        <v>24</v>
      </c>
      <c r="F9" s="6" t="s">
        <v>25</v>
      </c>
    </row>
    <row r="10">
      <c r="A10" s="6" t="s">
        <v>34</v>
      </c>
      <c r="B10" s="7">
        <v>0.06</v>
      </c>
      <c r="C10" s="8">
        <f t="shared" si="1"/>
        <v>21000</v>
      </c>
      <c r="D10" s="6" t="s">
        <v>40</v>
      </c>
      <c r="E10" s="6" t="s">
        <v>24</v>
      </c>
      <c r="F10" s="6" t="s">
        <v>41</v>
      </c>
    </row>
    <row r="11">
      <c r="A11" s="6" t="s">
        <v>26</v>
      </c>
      <c r="B11" s="7">
        <v>0.06</v>
      </c>
      <c r="C11" s="8">
        <f t="shared" si="1"/>
        <v>21000</v>
      </c>
      <c r="D11" s="6" t="s">
        <v>27</v>
      </c>
      <c r="E11" s="6" t="s">
        <v>28</v>
      </c>
      <c r="F11" s="6" t="s">
        <v>29</v>
      </c>
    </row>
    <row r="12">
      <c r="A12" s="6" t="s">
        <v>30</v>
      </c>
      <c r="B12" s="7">
        <v>0.05</v>
      </c>
      <c r="C12" s="8">
        <f t="shared" si="1"/>
        <v>17500</v>
      </c>
      <c r="D12" s="6" t="s">
        <v>31</v>
      </c>
      <c r="E12" s="6" t="s">
        <v>32</v>
      </c>
      <c r="F12" s="6" t="s">
        <v>33</v>
      </c>
    </row>
    <row r="13">
      <c r="A13" s="6" t="s">
        <v>37</v>
      </c>
      <c r="B13" s="7"/>
      <c r="C13" s="8"/>
      <c r="E13" s="6" t="s">
        <v>35</v>
      </c>
      <c r="F13" s="6" t="s">
        <v>36</v>
      </c>
    </row>
    <row r="14">
      <c r="A14" s="6" t="s">
        <v>38</v>
      </c>
      <c r="B14" s="7"/>
      <c r="C14" s="8"/>
      <c r="E14" s="6" t="s">
        <v>35</v>
      </c>
      <c r="F14" s="6" t="s">
        <v>36</v>
      </c>
    </row>
    <row r="15">
      <c r="A15" s="6" t="s">
        <v>39</v>
      </c>
      <c r="B15" s="7"/>
      <c r="C15" s="8"/>
      <c r="E15" s="6" t="s">
        <v>35</v>
      </c>
      <c r="F15" s="6" t="s">
        <v>36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88"/>
    <col customWidth="1" min="2" max="2" width="16.38"/>
    <col customWidth="1" min="3" max="3" width="14.88"/>
    <col customWidth="1" min="4" max="4" width="31.5"/>
    <col customWidth="1" min="5" max="5" width="37.38"/>
    <col customWidth="1" min="6" max="6" width="34.88"/>
  </cols>
  <sheetData>
    <row r="1">
      <c r="A1" s="1" t="s">
        <v>0</v>
      </c>
      <c r="B1" s="1"/>
      <c r="C1" s="1"/>
      <c r="D1" s="1"/>
      <c r="E1" s="1"/>
      <c r="F1" s="1"/>
    </row>
    <row r="2">
      <c r="A2" s="2" t="s">
        <v>1</v>
      </c>
      <c r="B2" s="3"/>
      <c r="C2" s="3"/>
      <c r="D2" s="3"/>
      <c r="E2" s="3"/>
      <c r="F2" s="3"/>
    </row>
    <row r="3">
      <c r="A3" s="2" t="s">
        <v>2</v>
      </c>
      <c r="B3" s="3"/>
      <c r="C3" s="3"/>
      <c r="D3" s="3"/>
      <c r="E3" s="3"/>
      <c r="F3" s="3"/>
    </row>
    <row r="4" ht="28.5" customHeight="1">
      <c r="A4" s="4" t="s">
        <v>3</v>
      </c>
      <c r="B4" s="5">
        <v>500000.0</v>
      </c>
      <c r="C4" s="4"/>
      <c r="D4" s="4"/>
      <c r="E4" s="4"/>
      <c r="F4" s="4"/>
    </row>
    <row r="5" ht="28.5" customHeight="1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</row>
    <row r="6">
      <c r="A6" s="6" t="s">
        <v>10</v>
      </c>
      <c r="B6" s="7">
        <v>0.35</v>
      </c>
      <c r="C6" s="8">
        <f t="shared" ref="C6:C15" si="1">$B$4*B6</f>
        <v>175000</v>
      </c>
      <c r="D6" s="6" t="s">
        <v>11</v>
      </c>
      <c r="E6" s="6" t="s">
        <v>12</v>
      </c>
      <c r="F6" s="6" t="s">
        <v>13</v>
      </c>
    </row>
    <row r="7">
      <c r="A7" s="6" t="s">
        <v>14</v>
      </c>
      <c r="B7" s="7">
        <v>0.2</v>
      </c>
      <c r="C7" s="8">
        <f t="shared" si="1"/>
        <v>100000</v>
      </c>
      <c r="D7" s="6" t="s">
        <v>15</v>
      </c>
      <c r="E7" s="6" t="s">
        <v>16</v>
      </c>
      <c r="F7" s="6" t="s">
        <v>17</v>
      </c>
    </row>
    <row r="8">
      <c r="A8" s="6" t="s">
        <v>18</v>
      </c>
      <c r="B8" s="7">
        <v>0.15</v>
      </c>
      <c r="C8" s="8">
        <f t="shared" si="1"/>
        <v>75000</v>
      </c>
      <c r="D8" s="6" t="s">
        <v>19</v>
      </c>
      <c r="E8" s="6" t="s">
        <v>20</v>
      </c>
      <c r="F8" s="6" t="s">
        <v>21</v>
      </c>
    </row>
    <row r="9">
      <c r="A9" s="6" t="s">
        <v>34</v>
      </c>
      <c r="B9" s="7">
        <v>0.06</v>
      </c>
      <c r="C9" s="8">
        <f t="shared" si="1"/>
        <v>30000</v>
      </c>
      <c r="D9" s="6" t="s">
        <v>40</v>
      </c>
      <c r="E9" s="6" t="s">
        <v>24</v>
      </c>
      <c r="F9" s="6" t="s">
        <v>41</v>
      </c>
    </row>
    <row r="10">
      <c r="A10" s="6" t="s">
        <v>30</v>
      </c>
      <c r="B10" s="7">
        <v>0.05</v>
      </c>
      <c r="C10" s="8">
        <f t="shared" si="1"/>
        <v>25000</v>
      </c>
      <c r="D10" s="6" t="s">
        <v>31</v>
      </c>
      <c r="E10" s="6" t="s">
        <v>32</v>
      </c>
      <c r="F10" s="6" t="s">
        <v>33</v>
      </c>
    </row>
    <row r="11">
      <c r="A11" s="6" t="s">
        <v>22</v>
      </c>
      <c r="B11" s="7">
        <v>0.05</v>
      </c>
      <c r="C11" s="8">
        <f t="shared" si="1"/>
        <v>25000</v>
      </c>
      <c r="D11" s="6" t="s">
        <v>23</v>
      </c>
      <c r="E11" s="6" t="s">
        <v>24</v>
      </c>
      <c r="F11" s="6" t="s">
        <v>25</v>
      </c>
    </row>
    <row r="12">
      <c r="A12" s="6" t="s">
        <v>26</v>
      </c>
      <c r="B12" s="7">
        <v>0.05</v>
      </c>
      <c r="C12" s="8">
        <f t="shared" si="1"/>
        <v>25000</v>
      </c>
      <c r="D12" s="6" t="s">
        <v>27</v>
      </c>
      <c r="E12" s="6" t="s">
        <v>28</v>
      </c>
      <c r="F12" s="6" t="s">
        <v>29</v>
      </c>
    </row>
    <row r="13">
      <c r="A13" s="6" t="s">
        <v>37</v>
      </c>
      <c r="B13" s="7">
        <v>0.03</v>
      </c>
      <c r="C13" s="8">
        <f t="shared" si="1"/>
        <v>15000</v>
      </c>
      <c r="D13" s="6" t="s">
        <v>42</v>
      </c>
      <c r="E13" s="6" t="s">
        <v>43</v>
      </c>
      <c r="F13" s="6" t="s">
        <v>44</v>
      </c>
    </row>
    <row r="14">
      <c r="A14" s="6" t="s">
        <v>38</v>
      </c>
      <c r="B14" s="7">
        <v>0.03</v>
      </c>
      <c r="C14" s="8">
        <f t="shared" si="1"/>
        <v>15000</v>
      </c>
      <c r="D14" s="6" t="s">
        <v>45</v>
      </c>
      <c r="E14" s="6" t="s">
        <v>46</v>
      </c>
      <c r="F14" s="6" t="s">
        <v>44</v>
      </c>
    </row>
    <row r="15">
      <c r="A15" s="6" t="s">
        <v>39</v>
      </c>
      <c r="B15" s="7">
        <v>0.03</v>
      </c>
      <c r="C15" s="8">
        <f t="shared" si="1"/>
        <v>15000</v>
      </c>
      <c r="D15" s="6" t="s">
        <v>47</v>
      </c>
      <c r="E15" s="6" t="s">
        <v>48</v>
      </c>
      <c r="F15" s="6" t="s">
        <v>49</v>
      </c>
    </row>
  </sheetData>
  <drawing r:id="rId1"/>
</worksheet>
</file>